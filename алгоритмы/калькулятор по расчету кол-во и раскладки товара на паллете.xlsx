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Даниил\Downloads\Клиент. Модули\"/>
    </mc:Choice>
  </mc:AlternateContent>
  <xr:revisionPtr revIDLastSave="0" documentId="13_ncr:1_{E8A12FE8-9122-4521-B19B-82006C9D675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7" i="1" l="1"/>
  <c r="J7" i="1"/>
  <c r="K3" i="1"/>
  <c r="J3" i="1"/>
  <c r="I7" i="1"/>
  <c r="I3" i="1"/>
  <c r="H3" i="1"/>
  <c r="G7" i="1"/>
  <c r="G3" i="1"/>
  <c r="F7" i="1"/>
  <c r="E7" i="1"/>
  <c r="F3" i="1"/>
  <c r="E3" i="1"/>
</calcChain>
</file>

<file path=xl/sharedStrings.xml><?xml version="1.0" encoding="utf-8"?>
<sst xmlns="http://schemas.openxmlformats.org/spreadsheetml/2006/main" count="32" uniqueCount="25">
  <si>
    <t>длина</t>
  </si>
  <si>
    <t>ширина</t>
  </si>
  <si>
    <t>высота</t>
  </si>
  <si>
    <t>Данные паллетов</t>
  </si>
  <si>
    <t>Евро</t>
  </si>
  <si>
    <t>Фин</t>
  </si>
  <si>
    <t>Длина</t>
  </si>
  <si>
    <t>Все в метрах</t>
  </si>
  <si>
    <t>Варианты раскладок на евро</t>
  </si>
  <si>
    <t>раскладка на фин</t>
  </si>
  <si>
    <t>ширину паллета делим на ширину товара</t>
  </si>
  <si>
    <t>длину паллета делим на длину товара результат округляем вниз до целого</t>
  </si>
  <si>
    <t>Кол-во в слое</t>
  </si>
  <si>
    <t>Кол-во слоев</t>
  </si>
  <si>
    <t>максимальная высота ячейки</t>
  </si>
  <si>
    <t>балка 3,6м = 3 фин в секцию</t>
  </si>
  <si>
    <t>балка 3,6м = 4 евро в секцию</t>
  </si>
  <si>
    <t>балка 3,2м 3 евро в секцию</t>
  </si>
  <si>
    <t>балка 3,2метра = 2 фин в секцию</t>
  </si>
  <si>
    <t>3,6 м балка</t>
  </si>
  <si>
    <t>3,2 м балка</t>
  </si>
  <si>
    <t>шт на паллет</t>
  </si>
  <si>
    <t>шт на паллете</t>
  </si>
  <si>
    <t>выгода</t>
  </si>
  <si>
    <t>в секции 40 шт в одной секции, а фин 36 шт. Значит евро выгоднее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</si>
</sst>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tabSelected="1" zoomScale="115" zoomScaleNormal="115" workbookViewId="0">
      <selection activeCell="M5" sqref="M5"/>
    </sheetView>
  </sheetViews>
  <sheetFormatPr defaultRowHeight="15" x14ac:dyDescent="0.25"/>
  <cols>
    <col min="1" max="1" width="15.42578125" bestFit="1" customWidth="1"/>
    <col min="5" max="5" width="15.42578125" bestFit="1" customWidth="1"/>
    <col min="10" max="10" width="11.5703125" bestFit="1" customWidth="1"/>
  </cols>
  <sheetData>
    <row r="1" spans="1:13" x14ac:dyDescent="0.25">
      <c r="A1" t="s">
        <v>7</v>
      </c>
      <c r="E1" s="2" t="s">
        <v>8</v>
      </c>
      <c r="F1" s="2" t="s">
        <v>16</v>
      </c>
      <c r="G1" t="s">
        <v>17</v>
      </c>
    </row>
    <row r="2" spans="1:13" x14ac:dyDescent="0.25">
      <c r="E2" t="s">
        <v>11</v>
      </c>
      <c r="F2" t="s">
        <v>10</v>
      </c>
      <c r="G2" t="s">
        <v>12</v>
      </c>
      <c r="H2" t="s">
        <v>13</v>
      </c>
      <c r="I2" t="s">
        <v>22</v>
      </c>
      <c r="J2" t="s">
        <v>19</v>
      </c>
      <c r="K2" t="s">
        <v>20</v>
      </c>
      <c r="M2" t="s">
        <v>23</v>
      </c>
    </row>
    <row r="3" spans="1:13" x14ac:dyDescent="0.25">
      <c r="A3" t="s">
        <v>0</v>
      </c>
      <c r="B3">
        <v>0.6</v>
      </c>
      <c r="E3">
        <f>ROUNDDOWN(C9/B3,0)</f>
        <v>2</v>
      </c>
      <c r="F3">
        <f>ROUNDDOWN(C10/B4,0)</f>
        <v>1</v>
      </c>
      <c r="G3">
        <f>E3+F3</f>
        <v>3</v>
      </c>
      <c r="H3">
        <f>(B18-C11)/B5</f>
        <v>3.4000000000000004</v>
      </c>
      <c r="I3">
        <f>ROUNDDOWN(G3*H3,0)</f>
        <v>10</v>
      </c>
      <c r="J3">
        <f>I3*4</f>
        <v>40</v>
      </c>
      <c r="K3">
        <f>I3*3</f>
        <v>30</v>
      </c>
      <c r="M3" t="s">
        <v>24</v>
      </c>
    </row>
    <row r="4" spans="1:13" x14ac:dyDescent="0.25">
      <c r="A4" t="s">
        <v>1</v>
      </c>
      <c r="B4">
        <v>0.48</v>
      </c>
    </row>
    <row r="5" spans="1:13" x14ac:dyDescent="0.25">
      <c r="A5" t="s">
        <v>2</v>
      </c>
      <c r="B5">
        <v>0.5</v>
      </c>
    </row>
    <row r="6" spans="1:13" x14ac:dyDescent="0.25">
      <c r="E6" t="s">
        <v>9</v>
      </c>
      <c r="F6" t="s">
        <v>15</v>
      </c>
      <c r="G6" t="s">
        <v>18</v>
      </c>
      <c r="I6" t="s">
        <v>21</v>
      </c>
      <c r="J6" t="s">
        <v>19</v>
      </c>
      <c r="K6" t="s">
        <v>20</v>
      </c>
    </row>
    <row r="7" spans="1:13" x14ac:dyDescent="0.25">
      <c r="E7">
        <f>C13/B3</f>
        <v>2</v>
      </c>
      <c r="F7">
        <f>C14/B4</f>
        <v>2.0833333333333335</v>
      </c>
      <c r="G7">
        <f>E7+F7</f>
        <v>4.0833333333333339</v>
      </c>
      <c r="H7">
        <v>3</v>
      </c>
      <c r="I7">
        <f>ROUNDDOWN(G7*H7,0)</f>
        <v>12</v>
      </c>
      <c r="J7">
        <f>I7*3</f>
        <v>36</v>
      </c>
      <c r="K7">
        <f>I7*2</f>
        <v>24</v>
      </c>
    </row>
    <row r="8" spans="1:13" x14ac:dyDescent="0.25">
      <c r="A8" t="s">
        <v>3</v>
      </c>
    </row>
    <row r="9" spans="1:13" x14ac:dyDescent="0.25">
      <c r="A9" s="1" t="s">
        <v>4</v>
      </c>
      <c r="B9" t="s">
        <v>0</v>
      </c>
      <c r="C9">
        <v>1.2</v>
      </c>
    </row>
    <row r="10" spans="1:13" x14ac:dyDescent="0.25">
      <c r="A10" s="1"/>
      <c r="B10" t="s">
        <v>1</v>
      </c>
      <c r="C10">
        <v>0.8</v>
      </c>
    </row>
    <row r="11" spans="1:13" x14ac:dyDescent="0.25">
      <c r="A11" s="1"/>
      <c r="B11" t="s">
        <v>2</v>
      </c>
      <c r="C11">
        <v>0.15</v>
      </c>
    </row>
    <row r="13" spans="1:13" x14ac:dyDescent="0.25">
      <c r="A13" s="1" t="s">
        <v>5</v>
      </c>
      <c r="B13" t="s">
        <v>6</v>
      </c>
      <c r="C13">
        <v>1.2</v>
      </c>
    </row>
    <row r="14" spans="1:13" x14ac:dyDescent="0.25">
      <c r="A14" s="1"/>
      <c r="B14" t="s">
        <v>1</v>
      </c>
      <c r="C14">
        <v>1</v>
      </c>
    </row>
    <row r="15" spans="1:13" x14ac:dyDescent="0.25">
      <c r="A15" s="1"/>
      <c r="B15" t="s">
        <v>2</v>
      </c>
      <c r="C15">
        <v>0.15</v>
      </c>
    </row>
    <row r="18" spans="1:2" x14ac:dyDescent="0.25">
      <c r="A18" t="s">
        <v>14</v>
      </c>
      <c r="B18">
        <v>1.85</v>
      </c>
    </row>
  </sheetData>
  <mergeCells count="2">
    <mergeCell ref="A9:A11"/>
    <mergeCell ref="A13:A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Даниил</dc:creator>
  <cp:lastModifiedBy>Даниил Тимощенко</cp:lastModifiedBy>
  <dcterms:created xsi:type="dcterms:W3CDTF">2015-06-05T18:19:34Z</dcterms:created>
  <dcterms:modified xsi:type="dcterms:W3CDTF">2026-09-27T18:07:07Z</dcterms:modified>
</cp:coreProperties>
</file>